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hân công công việc" sheetId="1" r:id="rId4"/>
    <sheet state="visible" name="Khối lượng thành viên" sheetId="2" r:id="rId5"/>
    <sheet state="visible" name="Theo dõi tiến độ" sheetId="3" r:id="rId6"/>
    <sheet state="visible" name="Hướng dẫn" sheetId="4" r:id="rId7"/>
  </sheets>
  <definedNames/>
  <calcPr/>
  <extLst>
    <ext uri="GoogleSheetsCustomDataVersion2">
      <go:sheetsCustomData xmlns:go="http://customooxmlschemas.google.com/" r:id="rId8" roundtripDataChecksum="c1yJl1neXBPjJ00XcgYoqbLHeZLAWCup2XQU2Ehkv/w="/>
    </ext>
  </extLst>
</workbook>
</file>

<file path=xl/sharedStrings.xml><?xml version="1.0" encoding="utf-8"?>
<sst xmlns="http://schemas.openxmlformats.org/spreadsheetml/2006/main" count="232" uniqueCount="178">
  <si>
    <t>BẢNG PHÂN CÔNG CÔNG VIỆC NHÓM</t>
  </si>
  <si>
    <t>Tên dự án:</t>
  </si>
  <si>
    <t>Nghiên cứu ReacJS và ExpressJS phát triển hệ thống trả lời câu hỏi trực tuyến - FireQuiz</t>
  </si>
  <si>
    <t>Sprint: 1</t>
  </si>
  <si>
    <t>Ngày bắt đầu:</t>
  </si>
  <si>
    <t>Trưởng nhóm: Trần Đức Thông</t>
  </si>
  <si>
    <t>#</t>
  </si>
  <si>
    <t>Công việc / User Story</t>
  </si>
  <si>
    <t>Mô tả chi tiết</t>
  </si>
  <si>
    <t>Người thực hiện</t>
  </si>
  <si>
    <t>Ưu tiên</t>
  </si>
  <si>
    <t>Story Points</t>
  </si>
  <si>
    <t>Ngày bắt đầu</t>
  </si>
  <si>
    <t>Hạn hoàn thành</t>
  </si>
  <si>
    <t>Trạng thái</t>
  </si>
  <si>
    <t>Ghi chú</t>
  </si>
  <si>
    <t>Giao diện ban đầu</t>
  </si>
  <si>
    <t>Thiết kế Prototype, Layout chính (Sidebar, Header, Dashboard).</t>
  </si>
  <si>
    <t>Nguyễn Huy Hoàng &amp; Nguyễn Lương Tiên</t>
  </si>
  <si>
    <t>🔴 Cao</t>
  </si>
  <si>
    <t>✅ Hoàn thành</t>
  </si>
  <si>
    <t>Base UI</t>
  </si>
  <si>
    <t>Thiết kế Database</t>
  </si>
  <si>
    <t>Thiết kế lược đồ ERD (Users, Quizzes, Questions, Results).</t>
  </si>
  <si>
    <t>Vũ Mạnh Huy &amp; Nguyễn Lương Tiên</t>
  </si>
  <si>
    <t>MySQL</t>
  </si>
  <si>
    <t>Chức năng Đăng ký</t>
  </si>
  <si>
    <t>Form đăng ký, mã hóa mật khẩu, lưu vào DB.</t>
  </si>
  <si>
    <t>Vũ Mạnh Huy</t>
  </si>
  <si>
    <t>Chức năng Đăng nhập</t>
  </si>
  <si>
    <t>Xác thực JWT/Session, phân quyền cơ bản.</t>
  </si>
  <si>
    <t>Quên mật khẩu</t>
  </si>
  <si>
    <t>Gửi mail reset password (Mockup/Service).</t>
  </si>
  <si>
    <t>Trần Đức Thông</t>
  </si>
  <si>
    <t>🟡 Trung bình</t>
  </si>
  <si>
    <t>Đổi mật khẩu</t>
  </si>
  <si>
    <t>API và giao diện cập nhật mật khẩu mới.</t>
  </si>
  <si>
    <t>Thông tin tài khoản</t>
  </si>
  <si>
    <t>Trang Profile cá nhân (Xem/Sửa thông tin cơ bản).</t>
  </si>
  <si>
    <t>Nguyễn Lương Tiên</t>
  </si>
  <si>
    <t>🟢 Thấp</t>
  </si>
  <si>
    <t>Tạo bộ trắc nghiệm</t>
  </si>
  <si>
    <t>Form nhập tên, mô tả choQuiz.</t>
  </si>
  <si>
    <t>Vũ Mạnh Huy &amp; Nguyễn Huy Hoàng</t>
  </si>
  <si>
    <t>Create Quiz</t>
  </si>
  <si>
    <t>Xem bộ trắc nghiệm</t>
  </si>
  <si>
    <t>Trang danh sách các Quiz đã tạo của cá nhân.</t>
  </si>
  <si>
    <t>List Quiz</t>
  </si>
  <si>
    <t>Sửa bộ trắc nghiệm</t>
  </si>
  <si>
    <t>Cập nhật lại thông tin chung của bộ trắc nghiệm.</t>
  </si>
  <si>
    <t>Update Quiz</t>
  </si>
  <si>
    <t>Xóa bộ trắc nghiệm</t>
  </si>
  <si>
    <t>Chức năng xóa (Soft delete/Hard delete).</t>
  </si>
  <si>
    <t>Delete Quiz</t>
  </si>
  <si>
    <t>Xuất bản bộ trắc nghiệm</t>
  </si>
  <si>
    <t>Chuyển trạng thái Quiz sang Public/Private.</t>
  </si>
  <si>
    <t>👀 Chờ review</t>
  </si>
  <si>
    <t>Cần có chức năng hiển thị bài có sẵn để kiểm thử chức năng / Dời sang Sprint 2</t>
  </si>
  <si>
    <t>Đóng bộ trắc nghiệm</t>
  </si>
  <si>
    <t>Ngừng nhận người tham gia, ngừng nhận câu trả lời mới</t>
  </si>
  <si>
    <t>🔄 Đang làm</t>
  </si>
  <si>
    <t>Cần có tính năng làm bài để kiểm thử chức năng / Dời sang Sprint 2</t>
  </si>
  <si>
    <t>Tham gia bằng mã</t>
  </si>
  <si>
    <t>Logic nhập mã PIN để vào phòng thi.</t>
  </si>
  <si>
    <t>📋 Chưa bắt đầu</t>
  </si>
  <si>
    <t>Thiếu chức năng cần thiết / Dời sang Sprint 2</t>
  </si>
  <si>
    <t>Xem kết quả làm bài</t>
  </si>
  <si>
    <t>Giao diện hiển thị điểm sau khi hoàn tất.</t>
  </si>
  <si>
    <t>Chấm điểm bài làm</t>
  </si>
  <si>
    <t>Logic tính toán số câu đúng/sai khi nộp bài.</t>
  </si>
  <si>
    <t>Nguyễn Huy Hoàng</t>
  </si>
  <si>
    <t>📊 THỐNG KÊ NHANH</t>
  </si>
  <si>
    <t>Tổng số công việc:</t>
  </si>
  <si>
    <t>Đã hoàn thành:</t>
  </si>
  <si>
    <t>Chờ review:</t>
  </si>
  <si>
    <t>Ưu tiên cao:</t>
  </si>
  <si>
    <t>Tổng Story Points:</t>
  </si>
  <si>
    <t>Đang thực hiện:</t>
  </si>
  <si>
    <t>Bị chặn:</t>
  </si>
  <si>
    <t>Tỷ lệ hoàn thành:</t>
  </si>
  <si>
    <t>BẢNG PHÂN BỔ KHỐI LƯỢNG CÔNG VIỆC THEO THÀNH VIÊN</t>
  </si>
  <si>
    <t>Họ và tên</t>
  </si>
  <si>
    <t>Vai trò</t>
  </si>
  <si>
    <t>Số công việc</t>
  </si>
  <si>
    <t>Tổng SP</t>
  </si>
  <si>
    <t>Đang làm</t>
  </si>
  <si>
    <t>Hoàn thành</t>
  </si>
  <si>
    <t>Tỷ lệ %</t>
  </si>
  <si>
    <t>Trưởng nhóm</t>
  </si>
  <si>
    <t>Thành viên</t>
  </si>
  <si>
    <t>TỔNG CỘNG</t>
  </si>
  <si>
    <t>💡 Lưu ý: Nên phân công đều Story Points cho các thành viên (chênh lệch không quá 20%)</t>
  </si>
  <si>
    <t>BẢNG THEO DÕI TIẾN ĐỘ HÀNG NGÀY</t>
  </si>
  <si>
    <t>Ngày</t>
  </si>
  <si>
    <t>Công việc hoàn thành</t>
  </si>
  <si>
    <t>SP hoàn thành</t>
  </si>
  <si>
    <t>Tổng SP còn lại</t>
  </si>
  <si>
    <t>Ghi chú / Vấn đề</t>
  </si>
  <si>
    <t>Người báo cáo</t>
  </si>
  <si>
    <t>Giải pháp</t>
  </si>
  <si>
    <t>Bắt đầu thiết kế UI  &amp;  Database</t>
  </si>
  <si>
    <t>Khởi động dự án, thống nhất công nghệ.</t>
  </si>
  <si>
    <t>Cả nhóm</t>
  </si>
  <si>
    <t>Đang thực hiện thiết kế giao diện</t>
  </si>
  <si>
    <t>Cần thống nhất màu sắc chủ đạo.</t>
  </si>
  <si>
    <t>Tham khảo bảng màu UI/UX hiện đại.</t>
  </si>
  <si>
    <t>Hoàn thành Task 1  &amp;  2</t>
  </si>
  <si>
    <t>Đã có giao diện khung và cấu trúc Database MySQL.</t>
  </si>
  <si>
    <t>Chuyển dữ liệu ERD sang script SQL.</t>
  </si>
  <si>
    <t>Bắt đầu loạt Task Đăng ký, Đăng nhập, Profile, Quiz CRUD</t>
  </si>
  <si>
    <t>Khối lượng logic tập trung lớn vào giai đoạn này.</t>
  </si>
  <si>
    <t>Chia nhỏ task để code song song.</t>
  </si>
  <si>
    <t>Hoàn thành Task 3  &amp;  4 (Auth)</t>
  </si>
  <si>
    <t>Xong hệ thống xác thực JWT.</t>
  </si>
  <si>
    <t>Kiểm tra tính bảo mật của token.</t>
  </si>
  <si>
    <t>Hoàn thành Task 5, 6, 7 (Account)</t>
  </si>
  <si>
    <t>Đã gửi được mail reset và cập nhật Profile.</t>
  </si>
  <si>
    <t>Sử dụng Mailtrap để test gửi mail.</t>
  </si>
  <si>
    <t>Hoàn thành Task 8, 9 (Quiz Base)</t>
  </si>
  <si>
    <t>Đã tạo và hiển thị được danh sách bộ trắc nghiệm.</t>
  </si>
  <si>
    <t>Kết nối API FE với các bảng Database mới.</t>
  </si>
  <si>
    <t>Hoàn thành Task 10, 11 (Update/Delete)</t>
  </si>
  <si>
    <t>Hệ thống CRUD cơ bản của Quiz đã chạy tốt.</t>
  </si>
  <si>
    <t>Thêm xác nhận (Confirm) trước khi xóa.</t>
  </si>
  <si>
    <t>Task 12, 13, 14, 15, 16 chưa hoàn thành</t>
  </si>
  <si>
    <t>VẤN ĐỀ: Thiếu logic làm bài và chấm điểm nên không test được các task còn lại.</t>
  </si>
  <si>
    <t>Giải pháp: Dời 15 SP này sang Sprint 2 để hoàn thiện logic cốt lõi.</t>
  </si>
  <si>
    <t>📖 HƯỚNG DẪN SỬ DỤNG BẢNG PHÂN CÔNG CÔNG VIỆC</t>
  </si>
  <si>
    <t>1. CÁCH ĐIỀN THÔNG TIN</t>
  </si>
  <si>
    <t>Cột Công việc / User Story:</t>
  </si>
  <si>
    <t>Ghi tên công việc hoặc User Story ngắn gọn, rõ ràng</t>
  </si>
  <si>
    <t>Cột Mô tả chi tiết:</t>
  </si>
  <si>
    <t>Mô tả cụ thể công việc cần làm, tiêu chí hoàn thành</t>
  </si>
  <si>
    <t>Cột Người thực hiện:</t>
  </si>
  <si>
    <t>Ghi đúng tên như trong sheet "Khối lượng thành viên"</t>
  </si>
  <si>
    <t>Cột Ưu tiên:</t>
  </si>
  <si>
    <t>Chọn từ dropdown: 🔴 Cao, 🟡 Trung bình, 🟢 Thấp</t>
  </si>
  <si>
    <t>Cột Story Points:</t>
  </si>
  <si>
    <t>Điểm ước tính độ phức tạp (1, 2, 3, 5, 8, 13...)</t>
  </si>
  <si>
    <t>Cột Trạng thái:</t>
  </si>
  <si>
    <t>Chọn từ dropdown và CẬP NHẬT THƯỜNG XUYÊN</t>
  </si>
  <si>
    <t>2. QUY ƯỚC STORY POINTS</t>
  </si>
  <si>
    <t>1 SP:</t>
  </si>
  <si>
    <t>Công việc rất đơn giản, làm trong 1-2 giờ</t>
  </si>
  <si>
    <t>2 SP:</t>
  </si>
  <si>
    <t>Công việc đơn giản, làm trong nửa ngày</t>
  </si>
  <si>
    <t>3 SP:</t>
  </si>
  <si>
    <t>Công việc trung bình, làm trong 1 ngày</t>
  </si>
  <si>
    <t>5 SP:</t>
  </si>
  <si>
    <t>Công việc phức tạp, làm trong 2-3 ngày</t>
  </si>
  <si>
    <t>8 SP:</t>
  </si>
  <si>
    <t>Công việc rất phức tạp, cần chia nhỏ</t>
  </si>
  <si>
    <t>13 SP:</t>
  </si>
  <si>
    <t>Công việc quá lớn, BẮT BUỘC phải chia nhỏ</t>
  </si>
  <si>
    <t>3. QUY TẮC PHÂN CÔNG</t>
  </si>
  <si>
    <t>Cân bằng:</t>
  </si>
  <si>
    <t>Mỗi thành viên nên nhận ~20-25 SP/Sprint 2 tuần</t>
  </si>
  <si>
    <t>Phải có deadline rõ ràng và người phụ trách</t>
  </si>
  <si>
    <t>Công việc bị chặn:</t>
  </si>
  <si>
    <t>Ghi rõ nguyên nhân trong cột Ghi chú</t>
  </si>
  <si>
    <t>Pair programming:</t>
  </si>
  <si>
    <t xml:space="preserve">Ghi tên cả 2 người, cách nhau bằng dấu  &amp; </t>
  </si>
  <si>
    <t>4. CẬP NHẬT HÀNG NGÀY</t>
  </si>
  <si>
    <t>Daily Standup:</t>
  </si>
  <si>
    <t>Cập nhật trạng thái công việc mỗi ngày</t>
  </si>
  <si>
    <t>Sheet Tiến độ:</t>
  </si>
  <si>
    <t>Ghi lại SP hoàn thành mỗi ngày</t>
  </si>
  <si>
    <t>5. MÀU SẮC TRẠNG THÁI</t>
  </si>
  <si>
    <t>📋 Chưa bắt đầu:</t>
  </si>
  <si>
    <t>Công việc mới, chưa ai làm</t>
  </si>
  <si>
    <t>🔄 Đang làm:</t>
  </si>
  <si>
    <t>Đang trong quá trình thực hiện</t>
  </si>
  <si>
    <t>👀 Chờ review:</t>
  </si>
  <si>
    <t>Đã xong, chờ code review hoặc kiểm tra</t>
  </si>
  <si>
    <t>✅ Hoàn thành:</t>
  </si>
  <si>
    <t>Đã hoàn thành và được chấp nhận</t>
  </si>
  <si>
    <t>⚠️ Bị chặn:</t>
  </si>
  <si>
    <t>Không thể tiếp tục vì lý do nào đó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</si>
</sst>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"/>
  </numFmts>
  <fonts count="11">
    <font>
      <sz val="11.0"/>
      <color theme="1"/>
      <name val="Calibri"/>
      <scheme val="minor"/>
    </font>
    <font>
      <b/>
      <sz val="18.0"/>
      <color rgb="FF1F4E79"/>
      <name val="Arial"/>
    </font>
    <font>
      <b/>
      <sz val="10.0"/>
      <color theme="1"/>
      <name val="Arial"/>
    </font>
    <font>
      <sz val="11.0"/>
      <color theme="1"/>
      <name val="Calibri"/>
    </font>
    <font/>
    <font>
      <b/>
      <sz val="11.0"/>
      <color rgb="FFFFFFFF"/>
      <name val="Arial"/>
    </font>
    <font>
      <sz val="10.0"/>
      <color theme="1"/>
      <name val="Arial"/>
    </font>
    <font>
      <b/>
      <sz val="12.0"/>
      <color rgb="FFE67E22"/>
      <name val="Arial"/>
    </font>
    <font>
      <b/>
      <sz val="16.0"/>
      <color rgb="FF1F4E79"/>
      <name val="Arial"/>
    </font>
    <font>
      <i/>
      <sz val="10.0"/>
      <color rgb="FFE67E22"/>
      <name val="Arial"/>
    </font>
    <font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6EAF8"/>
        <bgColor rgb="FFD6EAF8"/>
      </patternFill>
    </fill>
    <fill>
      <patternFill patternType="solid">
        <fgColor rgb="FF1F4E79"/>
        <bgColor rgb="FF1F4E79"/>
      </patternFill>
    </fill>
    <fill>
      <patternFill patternType="solid">
        <fgColor rgb="FFF2F2F2"/>
        <bgColor rgb="FFF2F2F2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Border="1" applyFill="1" applyFont="1"/>
    <xf borderId="2" fillId="0" fontId="3" numFmtId="0" xfId="0" applyAlignment="1" applyBorder="1" applyFont="1">
      <alignment readingOrder="0" shrinkToFit="0" wrapText="1"/>
    </xf>
    <xf borderId="3" fillId="0" fontId="4" numFmtId="0" xfId="0" applyBorder="1" applyFont="1"/>
    <xf borderId="1" fillId="0" fontId="3" numFmtId="0" xfId="0" applyBorder="1" applyFont="1"/>
    <xf borderId="2" fillId="2" fontId="2" numFmtId="0" xfId="0" applyAlignment="1" applyBorder="1" applyFont="1">
      <alignment readingOrder="0"/>
    </xf>
    <xf borderId="0" fillId="0" fontId="3" numFmtId="0" xfId="0" applyFont="1"/>
    <xf borderId="2" fillId="0" fontId="3" numFmtId="164" xfId="0" applyAlignment="1" applyBorder="1" applyFont="1" applyNumberFormat="1">
      <alignment readingOrder="0"/>
    </xf>
    <xf borderId="2" fillId="2" fontId="2" numFmtId="0" xfId="0" applyAlignment="1" applyBorder="1" applyFont="1">
      <alignment readingOrder="0" shrinkToFit="0" wrapText="1"/>
    </xf>
    <xf borderId="1" fillId="3" fontId="5" numFmtId="0" xfId="0" applyAlignment="1" applyBorder="1" applyFill="1" applyFont="1">
      <alignment horizontal="center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6" numFmtId="0" xfId="0" applyAlignment="1" applyBorder="1" applyFont="1">
      <alignment horizontal="left" readingOrder="0" shrinkToFit="0" vertical="center" wrapText="1"/>
    </xf>
    <xf borderId="1" fillId="4" fontId="6" numFmtId="164" xfId="0" applyAlignment="1" applyBorder="1" applyFont="1" applyNumberFormat="1">
      <alignment horizontal="left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left" readingOrder="0" shrinkToFit="0" vertical="center" wrapText="1"/>
    </xf>
    <xf borderId="1" fillId="0" fontId="6" numFmtId="164" xfId="0" applyAlignment="1" applyBorder="1" applyFont="1" applyNumberFormat="1">
      <alignment horizontal="left" readingOrder="0" shrinkToFit="0" vertical="center" wrapText="1"/>
    </xf>
    <xf borderId="1" fillId="4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left" shrinkToFit="0" vertical="center" wrapText="1"/>
    </xf>
    <xf borderId="0" fillId="0" fontId="6" numFmtId="0" xfId="0" applyAlignment="1" applyFont="1">
      <alignment horizontal="left" readingOrder="0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Font="1"/>
    <xf borderId="1" fillId="0" fontId="3" numFmtId="0" xfId="0" applyAlignment="1" applyBorder="1" applyFont="1">
      <alignment horizontal="center" shrinkToFit="0" vertical="center" wrapText="1"/>
    </xf>
    <xf borderId="1" fillId="0" fontId="3" numFmtId="9" xfId="0" applyAlignment="1" applyBorder="1" applyFont="1" applyNumberFormat="1">
      <alignment horizontal="center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3" numFmtId="0" xfId="0" applyAlignment="1" applyBorder="1" applyFont="1">
      <alignment readingOrder="0"/>
    </xf>
    <xf borderId="1" fillId="4" fontId="3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readingOrder="0"/>
    </xf>
    <xf borderId="1" fillId="4" fontId="3" numFmtId="0" xfId="0" applyBorder="1" applyFont="1"/>
    <xf borderId="1" fillId="4" fontId="3" numFmtId="9" xfId="0" applyAlignment="1" applyBorder="1" applyFont="1" applyNumberFormat="1">
      <alignment horizontal="center" shrinkToFit="0" vertical="center" wrapText="1"/>
    </xf>
    <xf borderId="2" fillId="2" fontId="2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0" fontId="2" numFmtId="9" xfId="0" applyAlignment="1" applyBorder="1" applyFont="1" applyNumberFormat="1">
      <alignment horizontal="center" shrinkToFit="0" vertical="center" wrapText="1"/>
    </xf>
    <xf borderId="0" fillId="0" fontId="9" numFmtId="0" xfId="0" applyFont="1"/>
    <xf borderId="0" fillId="0" fontId="10" numFmtId="164" xfId="0" applyAlignment="1" applyFont="1" applyNumberFormat="1">
      <alignment readingOrder="0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4" fontId="3" numFmtId="164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left" readingOrder="0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horizontal="center" readingOrder="0" shrinkToFit="0" vertical="center" wrapText="1"/>
    </xf>
    <xf borderId="1" fillId="4" fontId="3" numFmtId="0" xfId="0" applyAlignment="1" applyBorder="1" applyFont="1">
      <alignment horizontal="left" shrinkToFit="0" vertical="center" wrapText="1"/>
    </xf>
    <xf borderId="0" fillId="0" fontId="8" numFmtId="0" xfId="0" applyFont="1"/>
    <xf borderId="0" fillId="0" fontId="6" numFmtId="0" xfId="0" applyFont="1"/>
    <xf borderId="0" fillId="0" fontId="2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57"/>
    <col customWidth="1" min="2" max="2" width="35.0"/>
    <col customWidth="1" min="3" max="3" width="30.0"/>
    <col customWidth="1" min="4" max="4" width="18.0"/>
    <col customWidth="1" min="5" max="6" width="12.0"/>
    <col customWidth="1" min="7" max="9" width="14.0"/>
    <col customWidth="1" min="10" max="10" width="20.0"/>
    <col customWidth="1" min="11" max="26" width="8.57"/>
  </cols>
  <sheetData>
    <row r="1" ht="21.75" customHeight="1">
      <c r="A1" s="1" t="s">
        <v>0</v>
      </c>
    </row>
    <row r="2" ht="14.25" customHeight="1"/>
    <row r="3" ht="14.25" customHeight="1">
      <c r="A3" s="2" t="s">
        <v>1</v>
      </c>
      <c r="B3" s="3" t="s">
        <v>2</v>
      </c>
      <c r="C3" s="4"/>
      <c r="D3" s="5"/>
      <c r="E3" s="6" t="s">
        <v>3</v>
      </c>
      <c r="F3" s="4"/>
      <c r="H3" s="7"/>
    </row>
    <row r="4" ht="14.25" customHeight="1">
      <c r="A4" s="2" t="s">
        <v>4</v>
      </c>
      <c r="B4" s="8">
        <v>46084.0</v>
      </c>
      <c r="C4" s="4"/>
      <c r="D4" s="5"/>
      <c r="E4" s="9" t="s">
        <v>5</v>
      </c>
      <c r="F4" s="4"/>
      <c r="H4" s="7"/>
    </row>
    <row r="5" ht="14.25" customHeight="1"/>
    <row r="6" ht="14.25" customHeight="1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0" t="s">
        <v>12</v>
      </c>
      <c r="H6" s="10" t="s">
        <v>13</v>
      </c>
      <c r="I6" s="10" t="s">
        <v>14</v>
      </c>
      <c r="J6" s="10" t="s">
        <v>15</v>
      </c>
    </row>
    <row r="7" ht="14.25" customHeight="1">
      <c r="A7" s="11">
        <v>1.0</v>
      </c>
      <c r="B7" s="12" t="s">
        <v>16</v>
      </c>
      <c r="C7" s="12" t="s">
        <v>17</v>
      </c>
      <c r="D7" s="12" t="s">
        <v>18</v>
      </c>
      <c r="E7" s="11" t="s">
        <v>19</v>
      </c>
      <c r="F7" s="11">
        <v>5.0</v>
      </c>
      <c r="G7" s="13">
        <v>46084.0</v>
      </c>
      <c r="H7" s="13">
        <v>46090.0</v>
      </c>
      <c r="I7" s="11" t="s">
        <v>20</v>
      </c>
      <c r="J7" s="12" t="s">
        <v>21</v>
      </c>
    </row>
    <row r="8" ht="14.25" customHeight="1">
      <c r="A8" s="14">
        <v>2.0</v>
      </c>
      <c r="B8" s="15" t="s">
        <v>22</v>
      </c>
      <c r="C8" s="15" t="s">
        <v>23</v>
      </c>
      <c r="D8" s="15" t="s">
        <v>24</v>
      </c>
      <c r="E8" s="14" t="s">
        <v>19</v>
      </c>
      <c r="F8" s="14">
        <v>5.0</v>
      </c>
      <c r="G8" s="16">
        <v>46084.0</v>
      </c>
      <c r="H8" s="16">
        <v>46090.0</v>
      </c>
      <c r="I8" s="14" t="s">
        <v>20</v>
      </c>
      <c r="J8" s="15" t="s">
        <v>25</v>
      </c>
    </row>
    <row r="9" ht="14.25" customHeight="1">
      <c r="A9" s="11">
        <v>3.0</v>
      </c>
      <c r="B9" s="12" t="s">
        <v>26</v>
      </c>
      <c r="C9" s="12" t="s">
        <v>27</v>
      </c>
      <c r="D9" s="12" t="s">
        <v>28</v>
      </c>
      <c r="E9" s="11" t="s">
        <v>19</v>
      </c>
      <c r="F9" s="11">
        <v>3.0</v>
      </c>
      <c r="G9" s="13">
        <v>46091.0</v>
      </c>
      <c r="H9" s="13">
        <v>46096.0</v>
      </c>
      <c r="I9" s="11" t="s">
        <v>20</v>
      </c>
      <c r="J9" s="17"/>
    </row>
    <row r="10" ht="14.25" customHeight="1">
      <c r="A10" s="14">
        <v>4.0</v>
      </c>
      <c r="B10" s="15" t="s">
        <v>29</v>
      </c>
      <c r="C10" s="15" t="s">
        <v>30</v>
      </c>
      <c r="D10" s="15" t="s">
        <v>28</v>
      </c>
      <c r="E10" s="14" t="s">
        <v>19</v>
      </c>
      <c r="F10" s="14">
        <v>3.0</v>
      </c>
      <c r="G10" s="16">
        <v>46091.0</v>
      </c>
      <c r="H10" s="16">
        <v>46096.0</v>
      </c>
      <c r="I10" s="14" t="s">
        <v>20</v>
      </c>
      <c r="J10" s="18"/>
    </row>
    <row r="11" ht="14.25" customHeight="1">
      <c r="A11" s="11">
        <v>5.0</v>
      </c>
      <c r="B11" s="12" t="s">
        <v>31</v>
      </c>
      <c r="C11" s="12" t="s">
        <v>32</v>
      </c>
      <c r="D11" s="12" t="s">
        <v>33</v>
      </c>
      <c r="E11" s="11" t="s">
        <v>34</v>
      </c>
      <c r="F11" s="11">
        <v>3.0</v>
      </c>
      <c r="G11" s="13">
        <v>46091.0</v>
      </c>
      <c r="H11" s="13">
        <v>46096.0</v>
      </c>
      <c r="I11" s="11" t="s">
        <v>20</v>
      </c>
      <c r="J11" s="17"/>
    </row>
    <row r="12" ht="14.25" customHeight="1">
      <c r="A12" s="14">
        <v>6.0</v>
      </c>
      <c r="B12" s="15" t="s">
        <v>35</v>
      </c>
      <c r="C12" s="15" t="s">
        <v>36</v>
      </c>
      <c r="D12" s="15" t="s">
        <v>33</v>
      </c>
      <c r="E12" s="14" t="s">
        <v>34</v>
      </c>
      <c r="F12" s="14">
        <v>2.0</v>
      </c>
      <c r="G12" s="16">
        <v>46091.0</v>
      </c>
      <c r="H12" s="16">
        <v>46096.0</v>
      </c>
      <c r="I12" s="14" t="s">
        <v>20</v>
      </c>
      <c r="J12" s="18"/>
    </row>
    <row r="13" ht="14.25" customHeight="1">
      <c r="A13" s="11">
        <v>7.0</v>
      </c>
      <c r="B13" s="12" t="s">
        <v>37</v>
      </c>
      <c r="C13" s="12" t="s">
        <v>38</v>
      </c>
      <c r="D13" s="12" t="s">
        <v>39</v>
      </c>
      <c r="E13" s="11" t="s">
        <v>40</v>
      </c>
      <c r="F13" s="11">
        <v>2.0</v>
      </c>
      <c r="G13" s="13">
        <v>46091.0</v>
      </c>
      <c r="H13" s="13">
        <v>46096.0</v>
      </c>
      <c r="I13" s="11" t="s">
        <v>20</v>
      </c>
      <c r="J13" s="17"/>
    </row>
    <row r="14" ht="14.25" customHeight="1">
      <c r="A14" s="14">
        <v>8.0</v>
      </c>
      <c r="B14" s="15" t="s">
        <v>41</v>
      </c>
      <c r="C14" s="15" t="s">
        <v>42</v>
      </c>
      <c r="D14" s="15" t="s">
        <v>43</v>
      </c>
      <c r="E14" s="14" t="s">
        <v>19</v>
      </c>
      <c r="F14" s="14">
        <v>3.0</v>
      </c>
      <c r="G14" s="16">
        <v>46091.0</v>
      </c>
      <c r="H14" s="16">
        <v>46096.0</v>
      </c>
      <c r="I14" s="14" t="s">
        <v>20</v>
      </c>
      <c r="J14" s="15" t="s">
        <v>44</v>
      </c>
    </row>
    <row r="15" ht="14.25" customHeight="1">
      <c r="A15" s="11">
        <v>9.0</v>
      </c>
      <c r="B15" s="12" t="s">
        <v>45</v>
      </c>
      <c r="C15" s="12" t="s">
        <v>46</v>
      </c>
      <c r="D15" s="12" t="s">
        <v>43</v>
      </c>
      <c r="E15" s="11" t="s">
        <v>19</v>
      </c>
      <c r="F15" s="11">
        <v>2.0</v>
      </c>
      <c r="G15" s="13">
        <v>46091.0</v>
      </c>
      <c r="H15" s="13">
        <v>46096.0</v>
      </c>
      <c r="I15" s="11" t="s">
        <v>20</v>
      </c>
      <c r="J15" s="12" t="s">
        <v>47</v>
      </c>
    </row>
    <row r="16" ht="14.25" customHeight="1">
      <c r="A16" s="14">
        <v>10.0</v>
      </c>
      <c r="B16" s="15" t="s">
        <v>48</v>
      </c>
      <c r="C16" s="15" t="s">
        <v>49</v>
      </c>
      <c r="D16" s="15" t="s">
        <v>33</v>
      </c>
      <c r="E16" s="14" t="s">
        <v>34</v>
      </c>
      <c r="F16" s="14">
        <v>3.0</v>
      </c>
      <c r="G16" s="16">
        <v>46091.0</v>
      </c>
      <c r="H16" s="16">
        <v>46096.0</v>
      </c>
      <c r="I16" s="14" t="s">
        <v>20</v>
      </c>
      <c r="J16" s="15" t="s">
        <v>50</v>
      </c>
    </row>
    <row r="17" ht="14.25" customHeight="1">
      <c r="A17" s="11">
        <v>11.0</v>
      </c>
      <c r="B17" s="12" t="s">
        <v>51</v>
      </c>
      <c r="C17" s="12" t="s">
        <v>52</v>
      </c>
      <c r="D17" s="12" t="s">
        <v>39</v>
      </c>
      <c r="E17" s="11" t="s">
        <v>34</v>
      </c>
      <c r="F17" s="11">
        <v>2.0</v>
      </c>
      <c r="G17" s="13">
        <v>46091.0</v>
      </c>
      <c r="H17" s="13">
        <v>46096.0</v>
      </c>
      <c r="I17" s="11" t="s">
        <v>20</v>
      </c>
      <c r="J17" s="12" t="s">
        <v>53</v>
      </c>
    </row>
    <row r="18" ht="14.25" customHeight="1">
      <c r="A18" s="14">
        <v>12.0</v>
      </c>
      <c r="B18" s="15" t="s">
        <v>54</v>
      </c>
      <c r="C18" s="15" t="s">
        <v>55</v>
      </c>
      <c r="D18" s="15" t="s">
        <v>39</v>
      </c>
      <c r="E18" s="14" t="s">
        <v>19</v>
      </c>
      <c r="F18" s="14">
        <v>3.0</v>
      </c>
      <c r="G18" s="16">
        <v>46096.0</v>
      </c>
      <c r="H18" s="16">
        <v>46111.0</v>
      </c>
      <c r="I18" s="14" t="s">
        <v>56</v>
      </c>
      <c r="J18" s="15" t="s">
        <v>57</v>
      </c>
    </row>
    <row r="19" ht="14.25" customHeight="1">
      <c r="A19" s="11">
        <v>13.0</v>
      </c>
      <c r="B19" s="12" t="s">
        <v>58</v>
      </c>
      <c r="C19" s="12" t="s">
        <v>59</v>
      </c>
      <c r="D19" s="12" t="s">
        <v>33</v>
      </c>
      <c r="E19" s="11" t="s">
        <v>34</v>
      </c>
      <c r="F19" s="11">
        <v>2.0</v>
      </c>
      <c r="G19" s="13">
        <v>46096.0</v>
      </c>
      <c r="H19" s="16">
        <v>46111.0</v>
      </c>
      <c r="I19" s="11" t="s">
        <v>60</v>
      </c>
      <c r="J19" s="12" t="s">
        <v>61</v>
      </c>
    </row>
    <row r="20" ht="14.25" customHeight="1">
      <c r="A20" s="14">
        <v>14.0</v>
      </c>
      <c r="B20" s="15" t="s">
        <v>62</v>
      </c>
      <c r="C20" s="15" t="s">
        <v>63</v>
      </c>
      <c r="D20" s="15" t="s">
        <v>28</v>
      </c>
      <c r="E20" s="14" t="s">
        <v>19</v>
      </c>
      <c r="F20" s="14">
        <v>3.0</v>
      </c>
      <c r="G20" s="16">
        <v>46096.0</v>
      </c>
      <c r="H20" s="16">
        <v>46111.0</v>
      </c>
      <c r="I20" s="14" t="s">
        <v>64</v>
      </c>
      <c r="J20" s="15" t="s">
        <v>65</v>
      </c>
    </row>
    <row r="21" ht="14.25" customHeight="1">
      <c r="A21" s="19">
        <v>15.0</v>
      </c>
      <c r="B21" s="20" t="s">
        <v>66</v>
      </c>
      <c r="C21" s="20" t="s">
        <v>67</v>
      </c>
      <c r="D21" s="21" t="s">
        <v>28</v>
      </c>
      <c r="E21" s="19" t="s">
        <v>19</v>
      </c>
      <c r="F21" s="19">
        <v>2.0</v>
      </c>
      <c r="G21" s="16">
        <v>46096.0</v>
      </c>
      <c r="H21" s="16">
        <v>46111.0</v>
      </c>
      <c r="I21" s="22" t="s">
        <v>64</v>
      </c>
      <c r="J21" s="21" t="s">
        <v>65</v>
      </c>
    </row>
    <row r="22" ht="14.25" customHeight="1">
      <c r="A22" s="14">
        <v>16.0</v>
      </c>
      <c r="B22" s="15" t="s">
        <v>68</v>
      </c>
      <c r="C22" s="15" t="s">
        <v>69</v>
      </c>
      <c r="D22" s="15" t="s">
        <v>70</v>
      </c>
      <c r="E22" s="14" t="s">
        <v>19</v>
      </c>
      <c r="F22" s="14">
        <v>5.0</v>
      </c>
      <c r="G22" s="16">
        <v>46096.0</v>
      </c>
      <c r="H22" s="16">
        <v>46111.0</v>
      </c>
      <c r="I22" s="14" t="s">
        <v>64</v>
      </c>
      <c r="J22" s="15" t="s">
        <v>65</v>
      </c>
    </row>
    <row r="23" ht="14.25" customHeight="1"/>
    <row r="24" ht="14.25" customHeight="1"/>
    <row r="25" ht="14.25" customHeight="1">
      <c r="A25" s="23" t="s">
        <v>71</v>
      </c>
    </row>
    <row r="26" ht="14.25" customHeight="1">
      <c r="A26" s="2" t="s">
        <v>72</v>
      </c>
      <c r="B26" s="24">
        <f>COUNTA(B7:B22)</f>
        <v>16</v>
      </c>
      <c r="C26" s="2" t="s">
        <v>73</v>
      </c>
      <c r="D26" s="24">
        <f>COUNTIF(I7:I22,"✅ Hoàn thành")</f>
        <v>11</v>
      </c>
      <c r="E26" s="2" t="s">
        <v>74</v>
      </c>
      <c r="F26" s="24">
        <f>COUNTIF(I7:I22,"👀 Chờ review")</f>
        <v>1</v>
      </c>
      <c r="G26" s="2" t="s">
        <v>75</v>
      </c>
      <c r="H26" s="24">
        <f>COUNTIF(E7:E22,"🔴 Cao")</f>
        <v>10</v>
      </c>
    </row>
    <row r="27" ht="14.25" customHeight="1">
      <c r="A27" s="2" t="s">
        <v>76</v>
      </c>
      <c r="B27" s="24">
        <f>SUM(F7:F22)</f>
        <v>48</v>
      </c>
      <c r="C27" s="2" t="s">
        <v>77</v>
      </c>
      <c r="D27" s="24">
        <f>COUNTIF(I7:I22,"🔄 Đang làm")</f>
        <v>1</v>
      </c>
      <c r="E27" s="2" t="s">
        <v>78</v>
      </c>
      <c r="F27" s="24">
        <f>COUNTIF(I7:I22,"⚠️ Bị chặn")</f>
        <v>0</v>
      </c>
      <c r="G27" s="2" t="s">
        <v>79</v>
      </c>
      <c r="H27" s="25">
        <f>IF(COUNTA(B7:B22)&gt;0,COUNTIF(I7:I22,"✅ Hoàn thành")/COUNTA(B7:B22),0)</f>
        <v>0.6875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mergeCells count="8">
    <mergeCell ref="A1:J1"/>
    <mergeCell ref="E3:F3"/>
    <mergeCell ref="H3:J3"/>
    <mergeCell ref="B4:C4"/>
    <mergeCell ref="E4:F4"/>
    <mergeCell ref="H4:J4"/>
    <mergeCell ref="B3:C3"/>
    <mergeCell ref="A25:D25"/>
  </mergeCells>
  <dataValidations>
    <dataValidation type="list" allowBlank="1" sqref="I7:I22">
      <formula1>"📋 Chưa bắt đầu,🔄 Đang làm,👀 Chờ review,✅ Hoàn thành,⚠️ Bị chặn"</formula1>
    </dataValidation>
    <dataValidation type="list" allowBlank="1" sqref="E7:E22">
      <formula1>"🔴 Cao,🟡 Trung bình,🟢 Thấp"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0"/>
    <col customWidth="1" min="2" max="2" width="25.0"/>
    <col customWidth="1" min="3" max="3" width="20.0"/>
    <col customWidth="1" min="4" max="4" width="12.0"/>
    <col customWidth="1" min="5" max="5" width="10.0"/>
    <col customWidth="1" min="6" max="7" width="12.0"/>
    <col customWidth="1" min="8" max="8" width="10.0"/>
    <col customWidth="1" min="9" max="26" width="8.57"/>
  </cols>
  <sheetData>
    <row r="1" ht="19.5" customHeight="1">
      <c r="A1" s="26" t="s">
        <v>80</v>
      </c>
    </row>
    <row r="2" ht="14.25" customHeight="1"/>
    <row r="3" ht="14.25" customHeight="1">
      <c r="A3" s="10" t="s">
        <v>6</v>
      </c>
      <c r="B3" s="10" t="s">
        <v>81</v>
      </c>
      <c r="C3" s="10" t="s">
        <v>82</v>
      </c>
      <c r="D3" s="10" t="s">
        <v>83</v>
      </c>
      <c r="E3" s="10" t="s">
        <v>84</v>
      </c>
      <c r="F3" s="10" t="s">
        <v>85</v>
      </c>
      <c r="G3" s="10" t="s">
        <v>86</v>
      </c>
      <c r="H3" s="10" t="s">
        <v>87</v>
      </c>
    </row>
    <row r="4" ht="14.25" customHeight="1">
      <c r="A4" s="24">
        <v>1.0</v>
      </c>
      <c r="B4" s="27" t="s">
        <v>33</v>
      </c>
      <c r="C4" s="5" t="s">
        <v>88</v>
      </c>
      <c r="D4" s="24">
        <f>COUNTIF('Phân công công việc'!D7:D22,B4)</f>
        <v>4</v>
      </c>
      <c r="E4" s="24">
        <f>SUMIF('Phân công công việc'!D7:D22,B4,'Phân công công việc'!F7:F22)</f>
        <v>10</v>
      </c>
      <c r="F4" s="24">
        <f>COUNTIFS('Phân công công việc'!D7:D22,B4,'Phân công công việc'!I7:I22,"🔄 Đang làm")</f>
        <v>1</v>
      </c>
      <c r="G4" s="24">
        <f>COUNTIFS('Phân công công việc'!D7:D22,B4,'Phân công công việc'!I7:I22,"✅ Hoàn thành")</f>
        <v>3</v>
      </c>
      <c r="H4" s="25">
        <f t="shared" ref="H4:H10" si="1">IF(D4&gt;0,G4/D4,0)</f>
        <v>0.75</v>
      </c>
    </row>
    <row r="5" ht="14.25" customHeight="1">
      <c r="A5" s="28">
        <v>2.0</v>
      </c>
      <c r="B5" s="29" t="s">
        <v>28</v>
      </c>
      <c r="C5" s="30" t="s">
        <v>89</v>
      </c>
      <c r="D5" s="28">
        <f>COUNTIF('Phân công công việc'!D7:D22,B5)</f>
        <v>4</v>
      </c>
      <c r="E5" s="28">
        <f>SUMIF('Phân công công việc'!D7:D22,B5,'Phân công công việc'!F7:F22)</f>
        <v>11</v>
      </c>
      <c r="F5" s="28">
        <f>COUNTIFS('Phân công công việc'!D7:D22,B5,'Phân công công việc'!I7:I22,"🔄 Đang làm")</f>
        <v>0</v>
      </c>
      <c r="G5" s="28">
        <f>COUNTIFS('Phân công công việc'!D7:D22,B5,'Phân công công việc'!I7:I22,"✅ Hoàn thành")</f>
        <v>2</v>
      </c>
      <c r="H5" s="31">
        <f t="shared" si="1"/>
        <v>0.5</v>
      </c>
    </row>
    <row r="6" ht="14.25" customHeight="1">
      <c r="A6" s="24">
        <v>3.0</v>
      </c>
      <c r="B6" s="27" t="s">
        <v>70</v>
      </c>
      <c r="C6" s="5" t="s">
        <v>89</v>
      </c>
      <c r="D6" s="24">
        <f>COUNTIF('Phân công công việc'!D7:D22,B6)</f>
        <v>1</v>
      </c>
      <c r="E6" s="24">
        <f>SUMIF('Phân công công việc'!D7:D22,B6,'Phân công công việc'!F7:F22)</f>
        <v>5</v>
      </c>
      <c r="F6" s="24">
        <f>COUNTIFS('Phân công công việc'!D7:D22,B6,'Phân công công việc'!I7:I22,"🔄 Đang làm")</f>
        <v>0</v>
      </c>
      <c r="G6" s="24">
        <f>COUNTIFS('Phân công công việc'!D7:D22,B6,'Phân công công việc'!I7:I22,"✅ Hoàn thành")</f>
        <v>0</v>
      </c>
      <c r="H6" s="25">
        <f t="shared" si="1"/>
        <v>0</v>
      </c>
    </row>
    <row r="7" ht="14.25" customHeight="1">
      <c r="A7" s="28">
        <v>4.0</v>
      </c>
      <c r="B7" s="29" t="s">
        <v>39</v>
      </c>
      <c r="C7" s="30" t="s">
        <v>89</v>
      </c>
      <c r="D7" s="28">
        <f>COUNTIF('Phân công công việc'!D7:D22,B7)</f>
        <v>3</v>
      </c>
      <c r="E7" s="28">
        <f>SUMIF('Phân công công việc'!D7:D22,B7,'Phân công công việc'!F7:F22)</f>
        <v>7</v>
      </c>
      <c r="F7" s="28">
        <f>COUNTIFS('Phân công công việc'!D7:D22,B7,'Phân công công việc'!I7:I22,"🔄 Đang làm")</f>
        <v>0</v>
      </c>
      <c r="G7" s="28">
        <f>COUNTIFS('Phân công công việc'!D7:D22,B7,'Phân công công việc'!I7:I22,"✅ Hoàn thành")</f>
        <v>2</v>
      </c>
      <c r="H7" s="31">
        <f t="shared" si="1"/>
        <v>0.6666666667</v>
      </c>
    </row>
    <row r="8" ht="14.25" customHeight="1">
      <c r="A8" s="24">
        <v>5.0</v>
      </c>
      <c r="B8" s="5"/>
      <c r="C8" s="5" t="s">
        <v>89</v>
      </c>
      <c r="D8" s="24">
        <f>COUNTIF('Phân công công việc'!D7:D22,B8)</f>
        <v>0</v>
      </c>
      <c r="E8" s="24">
        <f>SUMIF('Phân công công việc'!D7:D22,B8,'Phân công công việc'!F7:F22)</f>
        <v>0</v>
      </c>
      <c r="F8" s="24">
        <f>COUNTIFS('Phân công công việc'!D7:D22,B8,'Phân công công việc'!I7:I22,"🔄 Đang làm")</f>
        <v>0</v>
      </c>
      <c r="G8" s="24">
        <f>COUNTIFS('Phân công công việc'!D7:D22,B8,'Phân công công việc'!I7:I22,"✅ Hoàn thành")</f>
        <v>0</v>
      </c>
      <c r="H8" s="25">
        <f t="shared" si="1"/>
        <v>0</v>
      </c>
    </row>
    <row r="9" ht="14.25" customHeight="1">
      <c r="A9" s="28">
        <v>6.0</v>
      </c>
      <c r="B9" s="30"/>
      <c r="C9" s="30" t="s">
        <v>89</v>
      </c>
      <c r="D9" s="28">
        <f>COUNTIF('Phân công công việc'!D7:D22,B9)</f>
        <v>0</v>
      </c>
      <c r="E9" s="28">
        <f>SUMIF('Phân công công việc'!D7:D22,B9,'Phân công công việc'!F7:F22)</f>
        <v>0</v>
      </c>
      <c r="F9" s="28">
        <f>COUNTIFS('Phân công công việc'!D7:D22,B9,'Phân công công việc'!I7:I22,"🔄 Đang làm")</f>
        <v>0</v>
      </c>
      <c r="G9" s="28">
        <f>COUNTIFS('Phân công công việc'!D7:D22,B9,'Phân công công việc'!I7:I22,"✅ Hoàn thành")</f>
        <v>0</v>
      </c>
      <c r="H9" s="31">
        <f t="shared" si="1"/>
        <v>0</v>
      </c>
    </row>
    <row r="10" ht="15.0" customHeight="1">
      <c r="A10" s="32" t="s">
        <v>90</v>
      </c>
      <c r="B10" s="33"/>
      <c r="C10" s="4"/>
      <c r="D10" s="34">
        <f t="shared" ref="D10:G10" si="2">SUM(D4:D9)</f>
        <v>12</v>
      </c>
      <c r="E10" s="34">
        <f t="shared" si="2"/>
        <v>33</v>
      </c>
      <c r="F10" s="34">
        <f t="shared" si="2"/>
        <v>1</v>
      </c>
      <c r="G10" s="34">
        <f t="shared" si="2"/>
        <v>7</v>
      </c>
      <c r="H10" s="35">
        <f t="shared" si="1"/>
        <v>0.5833333333</v>
      </c>
    </row>
    <row r="11" ht="14.25" customHeight="1"/>
    <row r="12" ht="14.25" customHeight="1">
      <c r="A12" s="36" t="s">
        <v>91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10:C10"/>
    <mergeCell ref="A12:H12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2" width="30.0"/>
    <col customWidth="1" min="3" max="3" width="12.0"/>
    <col customWidth="1" min="4" max="4" width="14.0"/>
    <col customWidth="1" min="5" max="5" width="25.0"/>
    <col customWidth="1" min="6" max="6" width="15.0"/>
    <col customWidth="1" min="7" max="7" width="25.0"/>
    <col customWidth="1" min="8" max="26" width="8.57"/>
  </cols>
  <sheetData>
    <row r="1" ht="19.5" customHeight="1">
      <c r="A1" s="26" t="s">
        <v>92</v>
      </c>
    </row>
    <row r="2" ht="14.25" customHeight="1"/>
    <row r="3" ht="14.25" customHeight="1">
      <c r="A3" s="10" t="s">
        <v>93</v>
      </c>
      <c r="B3" s="10" t="s">
        <v>94</v>
      </c>
      <c r="C3" s="10" t="s">
        <v>95</v>
      </c>
      <c r="D3" s="10" t="s">
        <v>96</v>
      </c>
      <c r="E3" s="10" t="s">
        <v>97</v>
      </c>
      <c r="F3" s="10" t="s">
        <v>98</v>
      </c>
      <c r="G3" s="10" t="s">
        <v>99</v>
      </c>
    </row>
    <row r="4" ht="14.25" customHeight="1">
      <c r="A4" s="37">
        <v>46084.0</v>
      </c>
      <c r="B4" s="38" t="s">
        <v>100</v>
      </c>
      <c r="C4" s="39">
        <v>0.0</v>
      </c>
      <c r="D4" s="39">
        <v>48.0</v>
      </c>
      <c r="E4" s="38" t="s">
        <v>101</v>
      </c>
      <c r="F4" s="38" t="s">
        <v>102</v>
      </c>
      <c r="G4" s="40"/>
    </row>
    <row r="5" ht="14.25" customHeight="1">
      <c r="A5" s="41">
        <v>46086.0</v>
      </c>
      <c r="B5" s="42" t="s">
        <v>103</v>
      </c>
      <c r="C5" s="43">
        <v>0.0</v>
      </c>
      <c r="D5" s="43">
        <v>48.0</v>
      </c>
      <c r="E5" s="42" t="s">
        <v>104</v>
      </c>
      <c r="F5" s="42" t="s">
        <v>70</v>
      </c>
      <c r="G5" s="42" t="s">
        <v>105</v>
      </c>
    </row>
    <row r="6" ht="14.25" customHeight="1">
      <c r="A6" s="44">
        <v>46090.0</v>
      </c>
      <c r="B6" s="38" t="s">
        <v>106</v>
      </c>
      <c r="C6" s="39">
        <v>10.0</v>
      </c>
      <c r="D6" s="39">
        <v>38.0</v>
      </c>
      <c r="E6" s="38" t="s">
        <v>107</v>
      </c>
      <c r="F6" s="38" t="s">
        <v>28</v>
      </c>
      <c r="G6" s="38" t="s">
        <v>108</v>
      </c>
    </row>
    <row r="7" ht="14.25" customHeight="1">
      <c r="A7" s="41">
        <v>46091.0</v>
      </c>
      <c r="B7" s="42" t="s">
        <v>109</v>
      </c>
      <c r="C7" s="43">
        <v>0.0</v>
      </c>
      <c r="D7" s="43">
        <v>38.0</v>
      </c>
      <c r="E7" s="42" t="s">
        <v>110</v>
      </c>
      <c r="F7" s="42" t="s">
        <v>102</v>
      </c>
      <c r="G7" s="42" t="s">
        <v>111</v>
      </c>
    </row>
    <row r="8" ht="14.25" customHeight="1">
      <c r="A8" s="44">
        <v>46093.0</v>
      </c>
      <c r="B8" s="38" t="s">
        <v>112</v>
      </c>
      <c r="C8" s="39">
        <v>6.0</v>
      </c>
      <c r="D8" s="39">
        <v>32.0</v>
      </c>
      <c r="E8" s="39" t="s">
        <v>113</v>
      </c>
      <c r="F8" s="38" t="s">
        <v>28</v>
      </c>
      <c r="G8" s="38" t="s">
        <v>114</v>
      </c>
    </row>
    <row r="9" ht="14.25" customHeight="1">
      <c r="A9" s="41">
        <v>46094.0</v>
      </c>
      <c r="B9" s="42" t="s">
        <v>115</v>
      </c>
      <c r="C9" s="43">
        <v>6.0</v>
      </c>
      <c r="D9" s="43">
        <v>26.0</v>
      </c>
      <c r="E9" s="42" t="s">
        <v>116</v>
      </c>
      <c r="F9" s="42" t="s">
        <v>33</v>
      </c>
      <c r="G9" s="42" t="s">
        <v>117</v>
      </c>
    </row>
    <row r="10" ht="14.25" customHeight="1">
      <c r="A10" s="44">
        <v>46095.0</v>
      </c>
      <c r="B10" s="38" t="s">
        <v>118</v>
      </c>
      <c r="C10" s="39">
        <v>5.0</v>
      </c>
      <c r="D10" s="39">
        <v>21.0</v>
      </c>
      <c r="E10" s="38" t="s">
        <v>119</v>
      </c>
      <c r="F10" s="38" t="s">
        <v>70</v>
      </c>
      <c r="G10" s="38" t="s">
        <v>120</v>
      </c>
    </row>
    <row r="11" ht="14.25" customHeight="1">
      <c r="A11" s="41">
        <v>46096.0</v>
      </c>
      <c r="B11" s="42" t="s">
        <v>121</v>
      </c>
      <c r="C11" s="43">
        <v>5.0</v>
      </c>
      <c r="D11" s="43">
        <v>16.0</v>
      </c>
      <c r="E11" s="42" t="s">
        <v>122</v>
      </c>
      <c r="F11" s="42" t="s">
        <v>39</v>
      </c>
      <c r="G11" s="42" t="s">
        <v>123</v>
      </c>
    </row>
    <row r="12" ht="14.25" customHeight="1">
      <c r="A12" s="44">
        <v>46096.0</v>
      </c>
      <c r="B12" s="38" t="s">
        <v>124</v>
      </c>
      <c r="C12" s="39">
        <v>1.0</v>
      </c>
      <c r="D12" s="39">
        <v>15.0</v>
      </c>
      <c r="E12" s="38" t="s">
        <v>125</v>
      </c>
      <c r="F12" s="38" t="s">
        <v>102</v>
      </c>
      <c r="G12" s="38" t="s">
        <v>126</v>
      </c>
    </row>
    <row r="13" ht="14.25" customHeight="1">
      <c r="A13" s="28"/>
      <c r="B13" s="45"/>
      <c r="C13" s="28"/>
      <c r="D13" s="28"/>
      <c r="E13" s="45"/>
      <c r="F13" s="45"/>
      <c r="G13" s="45"/>
    </row>
    <row r="14" ht="14.25" customHeight="1">
      <c r="A14" s="24"/>
      <c r="B14" s="40"/>
      <c r="C14" s="24"/>
      <c r="D14" s="24"/>
      <c r="E14" s="40"/>
      <c r="F14" s="40"/>
      <c r="G14" s="40"/>
    </row>
    <row r="15" ht="14.25" customHeight="1">
      <c r="A15" s="28"/>
      <c r="B15" s="45"/>
      <c r="C15" s="28"/>
      <c r="D15" s="28"/>
      <c r="E15" s="45"/>
      <c r="F15" s="45"/>
      <c r="G15" s="45"/>
    </row>
    <row r="16" ht="14.25" customHeight="1">
      <c r="A16" s="24"/>
      <c r="B16" s="40"/>
      <c r="C16" s="24"/>
      <c r="D16" s="24"/>
      <c r="E16" s="40"/>
      <c r="F16" s="40"/>
      <c r="G16" s="40"/>
    </row>
    <row r="17" ht="14.25" customHeight="1">
      <c r="A17" s="28"/>
      <c r="B17" s="45"/>
      <c r="C17" s="28"/>
      <c r="D17" s="28"/>
      <c r="E17" s="45"/>
      <c r="F17" s="45"/>
      <c r="G17" s="45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G1"/>
  </mergeCell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0"/>
    <col customWidth="1" min="2" max="2" width="60.0"/>
    <col customWidth="1" min="3" max="26" width="8.57"/>
  </cols>
  <sheetData>
    <row r="1" ht="14.25" customHeight="1">
      <c r="A1" s="46" t="s">
        <v>127</v>
      </c>
    </row>
    <row r="2" ht="14.25" customHeight="1"/>
    <row r="3" ht="14.25" customHeight="1">
      <c r="A3" s="47"/>
      <c r="B3" s="47"/>
    </row>
    <row r="4" ht="14.25" customHeight="1">
      <c r="A4" s="48" t="s">
        <v>128</v>
      </c>
      <c r="B4" s="47"/>
    </row>
    <row r="5" ht="14.25" customHeight="1">
      <c r="A5" s="47"/>
      <c r="B5" s="47"/>
    </row>
    <row r="6" ht="14.25" customHeight="1">
      <c r="A6" s="47" t="s">
        <v>129</v>
      </c>
      <c r="B6" s="47" t="s">
        <v>130</v>
      </c>
    </row>
    <row r="7" ht="14.25" customHeight="1">
      <c r="A7" s="47" t="s">
        <v>131</v>
      </c>
      <c r="B7" s="47" t="s">
        <v>132</v>
      </c>
    </row>
    <row r="8" ht="14.25" customHeight="1">
      <c r="A8" s="47" t="s">
        <v>133</v>
      </c>
      <c r="B8" s="47" t="s">
        <v>134</v>
      </c>
    </row>
    <row r="9" ht="14.25" customHeight="1">
      <c r="A9" s="47" t="s">
        <v>135</v>
      </c>
      <c r="B9" s="47" t="s">
        <v>136</v>
      </c>
    </row>
    <row r="10" ht="14.25" customHeight="1">
      <c r="A10" s="47" t="s">
        <v>137</v>
      </c>
      <c r="B10" s="47" t="s">
        <v>138</v>
      </c>
    </row>
    <row r="11" ht="14.25" customHeight="1">
      <c r="A11" s="47" t="s">
        <v>139</v>
      </c>
      <c r="B11" s="47" t="s">
        <v>140</v>
      </c>
    </row>
    <row r="12" ht="14.25" customHeight="1">
      <c r="A12" s="47"/>
      <c r="B12" s="47"/>
    </row>
    <row r="13" ht="14.25" customHeight="1">
      <c r="A13" s="48" t="s">
        <v>141</v>
      </c>
      <c r="B13" s="47"/>
    </row>
    <row r="14" ht="14.25" customHeight="1">
      <c r="A14" s="47"/>
      <c r="B14" s="47"/>
    </row>
    <row r="15" ht="14.25" customHeight="1">
      <c r="A15" s="47" t="s">
        <v>142</v>
      </c>
      <c r="B15" s="47" t="s">
        <v>143</v>
      </c>
    </row>
    <row r="16" ht="14.25" customHeight="1">
      <c r="A16" s="47" t="s">
        <v>144</v>
      </c>
      <c r="B16" s="47" t="s">
        <v>145</v>
      </c>
    </row>
    <row r="17" ht="14.25" customHeight="1">
      <c r="A17" s="47" t="s">
        <v>146</v>
      </c>
      <c r="B17" s="47" t="s">
        <v>147</v>
      </c>
    </row>
    <row r="18" ht="14.25" customHeight="1">
      <c r="A18" s="47" t="s">
        <v>148</v>
      </c>
      <c r="B18" s="47" t="s">
        <v>149</v>
      </c>
    </row>
    <row r="19" ht="14.25" customHeight="1">
      <c r="A19" s="47" t="s">
        <v>150</v>
      </c>
      <c r="B19" s="47" t="s">
        <v>151</v>
      </c>
    </row>
    <row r="20" ht="14.25" customHeight="1">
      <c r="A20" s="47" t="s">
        <v>152</v>
      </c>
      <c r="B20" s="47" t="s">
        <v>153</v>
      </c>
    </row>
    <row r="21" ht="14.25" customHeight="1">
      <c r="A21" s="47"/>
      <c r="B21" s="47"/>
    </row>
    <row r="22" ht="14.25" customHeight="1">
      <c r="A22" s="48" t="s">
        <v>154</v>
      </c>
      <c r="B22" s="47"/>
    </row>
    <row r="23" ht="14.25" customHeight="1">
      <c r="A23" s="47"/>
      <c r="B23" s="47"/>
    </row>
    <row r="24" ht="14.25" customHeight="1">
      <c r="A24" s="47" t="s">
        <v>155</v>
      </c>
      <c r="B24" s="47" t="s">
        <v>156</v>
      </c>
    </row>
    <row r="25" ht="14.25" customHeight="1">
      <c r="A25" s="47" t="s">
        <v>75</v>
      </c>
      <c r="B25" s="47" t="s">
        <v>157</v>
      </c>
    </row>
    <row r="26" ht="14.25" customHeight="1">
      <c r="A26" s="47" t="s">
        <v>158</v>
      </c>
      <c r="B26" s="47" t="s">
        <v>159</v>
      </c>
    </row>
    <row r="27" ht="14.25" customHeight="1">
      <c r="A27" s="47" t="s">
        <v>160</v>
      </c>
      <c r="B27" s="49" t="s">
        <v>161</v>
      </c>
    </row>
    <row r="28" ht="14.25" customHeight="1">
      <c r="A28" s="47"/>
      <c r="B28" s="47"/>
    </row>
    <row r="29" ht="14.25" customHeight="1">
      <c r="A29" s="48" t="s">
        <v>162</v>
      </c>
      <c r="B29" s="47"/>
    </row>
    <row r="30" ht="14.25" customHeight="1">
      <c r="A30" s="47"/>
      <c r="B30" s="47"/>
    </row>
    <row r="31" ht="14.25" customHeight="1">
      <c r="A31" s="47" t="s">
        <v>163</v>
      </c>
      <c r="B31" s="47" t="s">
        <v>164</v>
      </c>
    </row>
    <row r="32" ht="14.25" customHeight="1">
      <c r="A32" s="47" t="s">
        <v>165</v>
      </c>
      <c r="B32" s="47" t="s">
        <v>166</v>
      </c>
    </row>
    <row r="33" ht="14.25" customHeight="1">
      <c r="A33" s="47"/>
      <c r="B33" s="47"/>
    </row>
    <row r="34" ht="14.25" customHeight="1">
      <c r="A34" s="48" t="s">
        <v>167</v>
      </c>
      <c r="B34" s="47"/>
    </row>
    <row r="35" ht="14.25" customHeight="1">
      <c r="A35" s="47"/>
      <c r="B35" s="47"/>
    </row>
    <row r="36" ht="14.25" customHeight="1">
      <c r="A36" s="47" t="s">
        <v>168</v>
      </c>
      <c r="B36" s="47" t="s">
        <v>169</v>
      </c>
    </row>
    <row r="37" ht="14.25" customHeight="1">
      <c r="A37" s="47" t="s">
        <v>170</v>
      </c>
      <c r="B37" s="47" t="s">
        <v>171</v>
      </c>
    </row>
    <row r="38" ht="14.25" customHeight="1">
      <c r="A38" s="47" t="s">
        <v>172</v>
      </c>
      <c r="B38" s="47" t="s">
        <v>173</v>
      </c>
    </row>
    <row r="39" ht="14.25" customHeight="1">
      <c r="A39" s="47" t="s">
        <v>174</v>
      </c>
      <c r="B39" s="47" t="s">
        <v>175</v>
      </c>
    </row>
    <row r="40" ht="14.25" customHeight="1">
      <c r="A40" s="47" t="s">
        <v>176</v>
      </c>
      <c r="B40" s="47" t="s">
        <v>177</v>
      </c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E1"/>
  </mergeCell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2026-03-17T00:45:25Z</dcterms:created>
  <dc:creator>openpyxl</dc:creator>
</cp:coreProperties>
</file>